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gar Atre\Desktop\Chlorine Data\"/>
    </mc:Choice>
  </mc:AlternateContent>
  <xr:revisionPtr revIDLastSave="0" documentId="13_ncr:1_{06315974-EA1B-4789-9D51-5540236CA3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_priority" sheetId="1" r:id="rId1"/>
    <sheet name="legend" sheetId="2" r:id="rId2"/>
    <sheet name="Method_and_Re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<sst xmlns="http://schemas.openxmlformats.org/spreadsheetml/2006/main" count="84" uniqueCount="77">
  <si>
    <t>state</t>
  </si>
  <si>
    <t>u5_mortality_per_1000</t>
  </si>
  <si>
    <t>diarrheal_deaths_u5</t>
  </si>
  <si>
    <t>diarrheal_share_pct</t>
  </si>
  <si>
    <t>unsafe_water_attr_deaths</t>
  </si>
  <si>
    <t>unsafe_water_attr_pct</t>
  </si>
  <si>
    <t>annual_water_addressable_diarrheal_mortality_pct</t>
  </si>
  <si>
    <t>Kaduna</t>
  </si>
  <si>
    <t>Kebbi</t>
  </si>
  <si>
    <t>Gombe</t>
  </si>
  <si>
    <t>Taraba</t>
  </si>
  <si>
    <t>Jigawa</t>
  </si>
  <si>
    <t>Kano</t>
  </si>
  <si>
    <t>Zamfara</t>
  </si>
  <si>
    <t>Adamawa</t>
  </si>
  <si>
    <t>Bauchi</t>
  </si>
  <si>
    <t>Yobe</t>
  </si>
  <si>
    <t>Sokoto</t>
  </si>
  <si>
    <t>Plateau</t>
  </si>
  <si>
    <t>Katsina</t>
  </si>
  <si>
    <t>Abia</t>
  </si>
  <si>
    <t>Kogi</t>
  </si>
  <si>
    <t>Nasarawa</t>
  </si>
  <si>
    <t>Imo</t>
  </si>
  <si>
    <t>Ebonyi</t>
  </si>
  <si>
    <t>Rivers</t>
  </si>
  <si>
    <t>Borno</t>
  </si>
  <si>
    <t>Enugu</t>
  </si>
  <si>
    <t>Bayelsa</t>
  </si>
  <si>
    <t>Niger</t>
  </si>
  <si>
    <t>Akwa Ibom</t>
  </si>
  <si>
    <t>FCT (Abuja)</t>
  </si>
  <si>
    <t>Anambra</t>
  </si>
  <si>
    <t>Cross River</t>
  </si>
  <si>
    <t>Ekiti</t>
  </si>
  <si>
    <t>Benue</t>
  </si>
  <si>
    <t>Osun</t>
  </si>
  <si>
    <t>Ogun</t>
  </si>
  <si>
    <t>Delta</t>
  </si>
  <si>
    <t>Lagos</t>
  </si>
  <si>
    <t>Ondo</t>
  </si>
  <si>
    <t>Kwara</t>
  </si>
  <si>
    <t>Oyo</t>
  </si>
  <si>
    <t>Edo</t>
  </si>
  <si>
    <t>column</t>
  </si>
  <si>
    <t>meaning</t>
  </si>
  <si>
    <t>State name</t>
  </si>
  <si>
    <t>Under-5 mortality from DHS 2024, deaths per 1,000 live births (10-year period before survey)</t>
  </si>
  <si>
    <t>annual_u5_mortality_pct</t>
  </si>
  <si>
    <t>Approximate annualized under-5 mortality risk, converted from the DHS under-5 mortality rate</t>
  </si>
  <si>
    <t>GBD 2023 under-5 diarrheal deaths (count)</t>
  </si>
  <si>
    <t>GBD 2023 diarrhea deaths as a percent of all under-5 deaths</t>
  </si>
  <si>
    <t>GBD 2023 under-5 diarrheal deaths attributable to unsafe water source</t>
  </si>
  <si>
    <t>Unsafe-water-attributable deaths as a percent of all diarrheal under-5 deaths</t>
  </si>
  <si>
    <t>annual_diarrheal_mortality_pct</t>
  </si>
  <si>
    <t>Approximate annual diarrhea mortality risk = annual U5 mortality × diarrhea share</t>
  </si>
  <si>
    <t>Approximate annual water-addressable diarrhea mortality risk = annual diarrhea mortality × unsafe water attributable fraction</t>
  </si>
  <si>
    <t>chlorine_state_priority_score</t>
  </si>
  <si>
    <t>Composite screening score for chlorine intervention potential; higher means higher priority for further review</t>
  </si>
  <si>
    <t>Step</t>
  </si>
  <si>
    <t>Description</t>
  </si>
  <si>
    <t>Input under‑5 mortality per 1000 from DHS 2024</t>
  </si>
  <si>
    <t>Annualize mortality using life‑table conversion: 1-(1-q5)^(1/5)</t>
  </si>
  <si>
    <t>Multiply by diarrheal share from IHME GBD to estimate diarrheal mortality</t>
  </si>
  <si>
    <t>Multiply by unsafe water attributable fraction from GBD risk factors</t>
  </si>
  <si>
    <t>Combine into prioritization score emphasizing overall mortality and water‑addressable burden</t>
  </si>
  <si>
    <t>Key references</t>
  </si>
  <si>
    <t>GiveWell water quality intervention model (Dispensers for Safe Water CEA)</t>
  </si>
  <si>
    <t>https://www.givewell.org/international/technical/programs/water-quality-interventions</t>
  </si>
  <si>
    <t>GBD 2023 cause of death database</t>
  </si>
  <si>
    <t>https://www.healthdata.org/gbd</t>
  </si>
  <si>
    <t>DHS Guide to Statistics – Child mortality</t>
  </si>
  <si>
    <t>https://dhsprogram.com/data/Guide-to-DHS-Statistics/Childhood_Mortality.htm</t>
  </si>
  <si>
    <t>Preston et al. Demography: Measuring and Modeling Population Processes</t>
  </si>
  <si>
    <t>life‑table mortality conversion</t>
  </si>
  <si>
    <t>annual_diarrheal_mortality_rate_formula</t>
  </si>
  <si>
    <t>GiveWell formula for annualized mortality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</si>
</sst>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0" fontId="0" fillId="0" borderId="0" xfId="1" applyNumberFormat="1" applyFont="1"/>
    <xf numFmtId="0" fontId="0" fillId="0" borderId="0" xfId="0" applyAlignment="1">
      <alignment wrapText="1"/>
    </xf>
    <xf numFmtId="10" fontId="1" fillId="0" borderId="1" xfId="1" applyNumberFormat="1" applyFont="1" applyBorder="1" applyAlignment="1">
      <alignment horizontal="center" vertical="top" wrapText="1"/>
    </xf>
    <xf numFmtId="9" fontId="1" fillId="0" borderId="1" xfId="1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10" fontId="3" fillId="2" borderId="0" xfId="1" applyNumberFormat="1" applyFont="1" applyFill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C2" sqref="C2:C38"/>
    </sheetView>
  </sheetViews>
  <sheetFormatPr defaultRowHeight="14.4" x14ac:dyDescent="0.3"/>
  <cols>
    <col min="1" max="1" width="10.109375" bestFit="1" customWidth="1"/>
    <col min="2" max="2" width="20.77734375" bestFit="1" customWidth="1"/>
    <col min="3" max="3" width="20.77734375" customWidth="1"/>
    <col min="4" max="4" width="18.44140625" bestFit="1" customWidth="1"/>
    <col min="5" max="5" width="17.88671875" bestFit="1" customWidth="1"/>
    <col min="6" max="6" width="23.44140625" bestFit="1" customWidth="1"/>
    <col min="7" max="7" width="20.33203125" bestFit="1" customWidth="1"/>
    <col min="8" max="8" width="21.33203125" style="3" customWidth="1"/>
    <col min="9" max="9" width="27.44140625" style="2" customWidth="1"/>
  </cols>
  <sheetData>
    <row r="1" spans="1:9" ht="43.2" x14ac:dyDescent="0.3">
      <c r="A1" s="1" t="s">
        <v>0</v>
      </c>
      <c r="B1" s="1" t="s">
        <v>1</v>
      </c>
      <c r="C1" s="7" t="s">
        <v>76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75</v>
      </c>
      <c r="I1" s="6" t="s">
        <v>6</v>
      </c>
    </row>
    <row r="2" spans="1:9" x14ac:dyDescent="0.3">
      <c r="A2" t="s">
        <v>11</v>
      </c>
      <c r="B2">
        <v>161</v>
      </c>
      <c r="C2" s="8">
        <f>B2/1000/5</f>
        <v>3.2199999999999999E-2</v>
      </c>
      <c r="D2">
        <v>3031</v>
      </c>
      <c r="E2">
        <v>8.1300000000000008</v>
      </c>
      <c r="F2">
        <v>2357</v>
      </c>
      <c r="G2">
        <v>77.87</v>
      </c>
      <c r="H2" s="3">
        <f>C2*(E2/100)</f>
        <v>2.6178600000000005E-3</v>
      </c>
      <c r="I2" s="2">
        <v>0.22</v>
      </c>
    </row>
    <row r="3" spans="1:9" x14ac:dyDescent="0.3">
      <c r="A3" t="s">
        <v>8</v>
      </c>
      <c r="B3">
        <v>159</v>
      </c>
      <c r="C3" s="8">
        <f t="shared" ref="C3:C38" si="0">B3/1000/5</f>
        <v>3.1800000000000002E-2</v>
      </c>
      <c r="D3">
        <v>2693</v>
      </c>
      <c r="E3">
        <v>9.4700000000000006</v>
      </c>
      <c r="F3">
        <v>2119</v>
      </c>
      <c r="G3">
        <v>78.67</v>
      </c>
      <c r="H3" s="3">
        <f t="shared" ref="H3:H38" si="1">C3*(E3/100)</f>
        <v>3.0114600000000005E-3</v>
      </c>
      <c r="I3" s="2">
        <v>0.25</v>
      </c>
    </row>
    <row r="4" spans="1:9" x14ac:dyDescent="0.3">
      <c r="A4" t="s">
        <v>12</v>
      </c>
      <c r="B4">
        <v>158</v>
      </c>
      <c r="C4" s="8">
        <f t="shared" si="0"/>
        <v>3.1600000000000003E-2</v>
      </c>
      <c r="D4">
        <v>6455</v>
      </c>
      <c r="E4">
        <v>7.46</v>
      </c>
      <c r="F4">
        <v>4994</v>
      </c>
      <c r="G4">
        <v>77.489999999999995</v>
      </c>
      <c r="H4" s="3">
        <f t="shared" si="1"/>
        <v>2.3573600000000002E-3</v>
      </c>
      <c r="I4" s="2">
        <v>0.2</v>
      </c>
    </row>
    <row r="5" spans="1:9" x14ac:dyDescent="0.3">
      <c r="A5" t="s">
        <v>9</v>
      </c>
      <c r="B5">
        <v>157</v>
      </c>
      <c r="C5" s="8">
        <f t="shared" si="0"/>
        <v>3.1399999999999997E-2</v>
      </c>
      <c r="D5">
        <v>1442</v>
      </c>
      <c r="E5">
        <v>9.67</v>
      </c>
      <c r="F5">
        <v>1124</v>
      </c>
      <c r="G5">
        <v>78.06</v>
      </c>
      <c r="H5" s="3">
        <f t="shared" si="1"/>
        <v>3.0363799999999995E-3</v>
      </c>
      <c r="I5" s="2">
        <v>0.25</v>
      </c>
    </row>
    <row r="6" spans="1:9" x14ac:dyDescent="0.3">
      <c r="A6" t="s">
        <v>7</v>
      </c>
      <c r="B6">
        <v>153</v>
      </c>
      <c r="C6" s="8">
        <f t="shared" si="0"/>
        <v>3.0599999999999999E-2</v>
      </c>
      <c r="D6">
        <v>4747</v>
      </c>
      <c r="E6">
        <v>12.1</v>
      </c>
      <c r="F6">
        <v>3665</v>
      </c>
      <c r="G6">
        <v>77.28</v>
      </c>
      <c r="H6" s="3">
        <f t="shared" si="1"/>
        <v>3.7025999999999999E-3</v>
      </c>
      <c r="I6" s="2">
        <v>0.31</v>
      </c>
    </row>
    <row r="7" spans="1:9" x14ac:dyDescent="0.3">
      <c r="A7" t="s">
        <v>16</v>
      </c>
      <c r="B7">
        <v>145</v>
      </c>
      <c r="C7" s="8">
        <f t="shared" si="0"/>
        <v>2.8999999999999998E-2</v>
      </c>
      <c r="D7">
        <v>1063</v>
      </c>
      <c r="E7">
        <v>6.63</v>
      </c>
      <c r="F7">
        <v>829</v>
      </c>
      <c r="G7">
        <v>78.13</v>
      </c>
      <c r="H7" s="3">
        <f t="shared" si="1"/>
        <v>1.9226999999999998E-3</v>
      </c>
      <c r="I7" s="2">
        <v>0.16</v>
      </c>
    </row>
    <row r="8" spans="1:9" x14ac:dyDescent="0.3">
      <c r="A8" t="s">
        <v>14</v>
      </c>
      <c r="B8">
        <v>144</v>
      </c>
      <c r="C8" s="9">
        <f t="shared" si="0"/>
        <v>2.8799999999999999E-2</v>
      </c>
      <c r="D8">
        <v>847</v>
      </c>
      <c r="E8">
        <v>7.91</v>
      </c>
      <c r="F8">
        <v>658</v>
      </c>
      <c r="G8">
        <v>77.760000000000005</v>
      </c>
      <c r="H8" s="3">
        <f t="shared" si="1"/>
        <v>2.27808E-3</v>
      </c>
      <c r="I8" s="2">
        <v>0.19</v>
      </c>
    </row>
    <row r="9" spans="1:9" x14ac:dyDescent="0.3">
      <c r="A9" t="s">
        <v>10</v>
      </c>
      <c r="B9">
        <v>126</v>
      </c>
      <c r="C9" s="9">
        <f t="shared" si="0"/>
        <v>2.52E-2</v>
      </c>
      <c r="D9">
        <v>4188</v>
      </c>
      <c r="E9">
        <v>11.28</v>
      </c>
      <c r="F9">
        <v>3279</v>
      </c>
      <c r="G9">
        <v>78.36</v>
      </c>
      <c r="H9" s="3">
        <f t="shared" si="1"/>
        <v>2.8425600000000001E-3</v>
      </c>
      <c r="I9" s="2">
        <v>0.23</v>
      </c>
    </row>
    <row r="10" spans="1:9" x14ac:dyDescent="0.3">
      <c r="A10" t="s">
        <v>15</v>
      </c>
      <c r="B10">
        <v>125</v>
      </c>
      <c r="C10" s="9">
        <f t="shared" si="0"/>
        <v>2.5000000000000001E-2</v>
      </c>
      <c r="D10">
        <v>2692</v>
      </c>
      <c r="E10">
        <v>8.23</v>
      </c>
      <c r="F10">
        <v>2118</v>
      </c>
      <c r="G10">
        <v>78.75</v>
      </c>
      <c r="H10" s="3">
        <f t="shared" si="1"/>
        <v>2.0574999999999999E-3</v>
      </c>
      <c r="I10" s="2">
        <v>0.17</v>
      </c>
    </row>
    <row r="11" spans="1:9" x14ac:dyDescent="0.3">
      <c r="A11" t="s">
        <v>13</v>
      </c>
      <c r="B11">
        <v>119</v>
      </c>
      <c r="C11" s="9">
        <f t="shared" si="0"/>
        <v>2.3799999999999998E-2</v>
      </c>
      <c r="D11">
        <v>1974</v>
      </c>
      <c r="E11">
        <v>9.73</v>
      </c>
      <c r="F11">
        <v>1549</v>
      </c>
      <c r="G11">
        <v>78.59</v>
      </c>
      <c r="H11" s="3">
        <f t="shared" si="1"/>
        <v>2.3157399999999997E-3</v>
      </c>
      <c r="I11" s="2">
        <v>0.19</v>
      </c>
    </row>
    <row r="12" spans="1:9" x14ac:dyDescent="0.3">
      <c r="A12" t="s">
        <v>17</v>
      </c>
      <c r="B12">
        <v>109</v>
      </c>
      <c r="C12" s="9">
        <f t="shared" si="0"/>
        <v>2.18E-2</v>
      </c>
      <c r="D12">
        <v>4759</v>
      </c>
      <c r="E12">
        <v>9.1199999999999992</v>
      </c>
      <c r="F12">
        <v>3739</v>
      </c>
      <c r="G12">
        <v>78.510000000000005</v>
      </c>
      <c r="H12" s="3">
        <f t="shared" si="1"/>
        <v>1.9881599999999997E-3</v>
      </c>
      <c r="I12" s="2">
        <v>0.16</v>
      </c>
    </row>
    <row r="13" spans="1:9" x14ac:dyDescent="0.3">
      <c r="A13" t="s">
        <v>22</v>
      </c>
      <c r="B13">
        <v>106</v>
      </c>
      <c r="C13" s="9">
        <f t="shared" si="0"/>
        <v>2.12E-2</v>
      </c>
      <c r="D13">
        <v>1119</v>
      </c>
      <c r="E13">
        <v>5.81</v>
      </c>
      <c r="F13">
        <v>865</v>
      </c>
      <c r="G13">
        <v>77.31</v>
      </c>
      <c r="H13" s="3">
        <f t="shared" si="1"/>
        <v>1.23172E-3</v>
      </c>
      <c r="I13" s="2">
        <v>0.1</v>
      </c>
    </row>
    <row r="14" spans="1:9" x14ac:dyDescent="0.3">
      <c r="A14" t="s">
        <v>19</v>
      </c>
      <c r="B14">
        <v>105</v>
      </c>
      <c r="C14" s="9">
        <f t="shared" si="0"/>
        <v>2.0999999999999998E-2</v>
      </c>
      <c r="D14">
        <v>3648</v>
      </c>
      <c r="E14">
        <v>8.31</v>
      </c>
      <c r="F14">
        <v>2851</v>
      </c>
      <c r="G14">
        <v>78.209999999999994</v>
      </c>
      <c r="H14" s="3">
        <f t="shared" si="1"/>
        <v>1.7450999999999999E-3</v>
      </c>
      <c r="I14" s="2">
        <v>0.14000000000000001</v>
      </c>
    </row>
    <row r="15" spans="1:9" x14ac:dyDescent="0.3">
      <c r="A15" t="s">
        <v>18</v>
      </c>
      <c r="B15">
        <v>98</v>
      </c>
      <c r="C15" s="9">
        <f t="shared" si="0"/>
        <v>1.9599999999999999E-2</v>
      </c>
      <c r="D15">
        <v>3587</v>
      </c>
      <c r="E15">
        <v>10.61</v>
      </c>
      <c r="F15">
        <v>2772</v>
      </c>
      <c r="G15">
        <v>77.349999999999994</v>
      </c>
      <c r="H15" s="3">
        <f t="shared" si="1"/>
        <v>2.0795599999999998E-3</v>
      </c>
      <c r="I15" s="2">
        <v>0.17</v>
      </c>
    </row>
    <row r="16" spans="1:9" x14ac:dyDescent="0.3">
      <c r="A16" t="s">
        <v>26</v>
      </c>
      <c r="B16">
        <v>86</v>
      </c>
      <c r="C16" s="9">
        <f t="shared" si="0"/>
        <v>1.72E-2</v>
      </c>
      <c r="D16">
        <v>704</v>
      </c>
      <c r="E16">
        <v>5.37</v>
      </c>
      <c r="F16">
        <v>545</v>
      </c>
      <c r="G16">
        <v>77.430000000000007</v>
      </c>
      <c r="H16" s="3">
        <f t="shared" si="1"/>
        <v>9.2363999999999999E-4</v>
      </c>
      <c r="I16" s="2">
        <v>7.0000000000000007E-2</v>
      </c>
    </row>
    <row r="17" spans="1:9" x14ac:dyDescent="0.3">
      <c r="A17" t="s">
        <v>23</v>
      </c>
      <c r="B17">
        <v>85</v>
      </c>
      <c r="C17" s="9">
        <f t="shared" si="0"/>
        <v>1.7000000000000001E-2</v>
      </c>
      <c r="D17">
        <v>1802</v>
      </c>
      <c r="E17">
        <v>8.6</v>
      </c>
      <c r="F17">
        <v>1373</v>
      </c>
      <c r="G17">
        <v>76.16</v>
      </c>
      <c r="H17" s="3">
        <f t="shared" si="1"/>
        <v>1.462E-3</v>
      </c>
      <c r="I17" s="2">
        <v>0.12</v>
      </c>
    </row>
    <row r="18" spans="1:9" x14ac:dyDescent="0.3">
      <c r="A18" t="s">
        <v>30</v>
      </c>
      <c r="B18">
        <v>80</v>
      </c>
      <c r="C18" s="9">
        <f t="shared" si="0"/>
        <v>1.6E-2</v>
      </c>
      <c r="D18">
        <v>190</v>
      </c>
      <c r="E18">
        <v>5.64</v>
      </c>
      <c r="F18">
        <v>146</v>
      </c>
      <c r="G18">
        <v>76.650000000000006</v>
      </c>
      <c r="H18" s="3">
        <f t="shared" si="1"/>
        <v>9.0240000000000003E-4</v>
      </c>
      <c r="I18" s="2">
        <v>7.0000000000000007E-2</v>
      </c>
    </row>
    <row r="19" spans="1:9" x14ac:dyDescent="0.3">
      <c r="A19" t="s">
        <v>21</v>
      </c>
      <c r="B19">
        <v>78</v>
      </c>
      <c r="C19" s="9">
        <f t="shared" si="0"/>
        <v>1.5599999999999999E-2</v>
      </c>
      <c r="D19">
        <v>464</v>
      </c>
      <c r="E19">
        <v>9</v>
      </c>
      <c r="F19">
        <v>358</v>
      </c>
      <c r="G19">
        <v>77.209999999999994</v>
      </c>
      <c r="H19" s="3">
        <f t="shared" si="1"/>
        <v>1.4039999999999999E-3</v>
      </c>
      <c r="I19" s="2">
        <v>0.11</v>
      </c>
    </row>
    <row r="20" spans="1:9" x14ac:dyDescent="0.3">
      <c r="A20" t="s">
        <v>28</v>
      </c>
      <c r="B20">
        <v>73</v>
      </c>
      <c r="C20" s="9">
        <f t="shared" si="0"/>
        <v>1.4599999999999998E-2</v>
      </c>
      <c r="D20">
        <v>101</v>
      </c>
      <c r="E20">
        <v>6.64</v>
      </c>
      <c r="F20">
        <v>78</v>
      </c>
      <c r="G20">
        <v>76.94</v>
      </c>
      <c r="H20" s="3">
        <f t="shared" si="1"/>
        <v>9.6943999999999991E-4</v>
      </c>
      <c r="I20" s="2">
        <v>0.08</v>
      </c>
    </row>
    <row r="21" spans="1:9" x14ac:dyDescent="0.3">
      <c r="A21" t="s">
        <v>32</v>
      </c>
      <c r="B21">
        <v>72</v>
      </c>
      <c r="C21" s="9">
        <f t="shared" si="0"/>
        <v>1.44E-2</v>
      </c>
      <c r="D21">
        <v>557</v>
      </c>
      <c r="E21">
        <v>6.16</v>
      </c>
      <c r="F21">
        <v>425</v>
      </c>
      <c r="G21">
        <v>76.209999999999994</v>
      </c>
      <c r="H21" s="3">
        <f t="shared" si="1"/>
        <v>8.8703999999999996E-4</v>
      </c>
      <c r="I21" s="2">
        <v>7.0000000000000007E-2</v>
      </c>
    </row>
    <row r="22" spans="1:9" x14ac:dyDescent="0.3">
      <c r="A22" t="s">
        <v>20</v>
      </c>
      <c r="B22">
        <v>69</v>
      </c>
      <c r="C22" s="9">
        <f t="shared" si="0"/>
        <v>1.3800000000000002E-2</v>
      </c>
      <c r="D22">
        <v>1338</v>
      </c>
      <c r="E22">
        <v>10.83</v>
      </c>
      <c r="F22">
        <v>1022</v>
      </c>
      <c r="G22">
        <v>76.459999999999994</v>
      </c>
      <c r="H22" s="3">
        <f t="shared" si="1"/>
        <v>1.4945400000000004E-3</v>
      </c>
      <c r="I22" s="2">
        <v>0.12</v>
      </c>
    </row>
    <row r="23" spans="1:9" x14ac:dyDescent="0.3">
      <c r="A23" t="s">
        <v>24</v>
      </c>
      <c r="B23">
        <v>68</v>
      </c>
      <c r="C23" s="9">
        <f t="shared" si="0"/>
        <v>1.3600000000000001E-2</v>
      </c>
      <c r="D23">
        <v>739</v>
      </c>
      <c r="E23">
        <v>8.35</v>
      </c>
      <c r="F23">
        <v>569</v>
      </c>
      <c r="G23">
        <v>77.16</v>
      </c>
      <c r="H23" s="3">
        <f t="shared" si="1"/>
        <v>1.1356000000000001E-3</v>
      </c>
      <c r="I23" s="2">
        <v>0.09</v>
      </c>
    </row>
    <row r="24" spans="1:9" x14ac:dyDescent="0.3">
      <c r="A24" t="s">
        <v>31</v>
      </c>
      <c r="B24">
        <v>60</v>
      </c>
      <c r="C24" s="9">
        <f t="shared" si="0"/>
        <v>1.2E-2</v>
      </c>
      <c r="D24">
        <v>1567</v>
      </c>
      <c r="E24">
        <v>9.57</v>
      </c>
      <c r="F24">
        <v>1168</v>
      </c>
      <c r="G24">
        <v>74.59</v>
      </c>
      <c r="H24" s="3">
        <f t="shared" si="1"/>
        <v>1.1484000000000002E-3</v>
      </c>
      <c r="I24" s="2">
        <v>0.09</v>
      </c>
    </row>
    <row r="25" spans="1:9" x14ac:dyDescent="0.3">
      <c r="A25" t="s">
        <v>33</v>
      </c>
      <c r="B25">
        <v>60</v>
      </c>
      <c r="C25" s="9">
        <f t="shared" si="0"/>
        <v>1.2E-2</v>
      </c>
      <c r="D25">
        <v>214</v>
      </c>
      <c r="E25">
        <v>6.23</v>
      </c>
      <c r="F25">
        <v>165</v>
      </c>
      <c r="G25">
        <v>77.180000000000007</v>
      </c>
      <c r="H25" s="3">
        <f t="shared" si="1"/>
        <v>7.4760000000000007E-4</v>
      </c>
      <c r="I25" s="2">
        <v>0.06</v>
      </c>
    </row>
    <row r="26" spans="1:9" x14ac:dyDescent="0.3">
      <c r="A26" t="s">
        <v>37</v>
      </c>
      <c r="B26">
        <v>60</v>
      </c>
      <c r="C26" s="9">
        <f t="shared" si="0"/>
        <v>1.2E-2</v>
      </c>
      <c r="D26">
        <v>1808</v>
      </c>
      <c r="E26">
        <v>6.18</v>
      </c>
      <c r="F26">
        <v>1375</v>
      </c>
      <c r="G26">
        <v>75.97</v>
      </c>
      <c r="H26" s="3">
        <f t="shared" si="1"/>
        <v>7.4159999999999992E-4</v>
      </c>
      <c r="I26" s="2">
        <v>0.06</v>
      </c>
    </row>
    <row r="27" spans="1:9" x14ac:dyDescent="0.3">
      <c r="A27" t="s">
        <v>36</v>
      </c>
      <c r="B27">
        <v>55</v>
      </c>
      <c r="C27" s="9">
        <f t="shared" si="0"/>
        <v>1.0999999999999999E-2</v>
      </c>
      <c r="D27">
        <v>458</v>
      </c>
      <c r="E27">
        <v>7.3</v>
      </c>
      <c r="F27">
        <v>348</v>
      </c>
      <c r="G27">
        <v>76.08</v>
      </c>
      <c r="H27" s="3">
        <f t="shared" si="1"/>
        <v>8.0299999999999989E-4</v>
      </c>
      <c r="I27" s="2">
        <v>0.06</v>
      </c>
    </row>
    <row r="28" spans="1:9" x14ac:dyDescent="0.3">
      <c r="A28" t="s">
        <v>25</v>
      </c>
      <c r="B28">
        <v>54</v>
      </c>
      <c r="C28" s="9">
        <f t="shared" si="0"/>
        <v>1.0800000000000001E-2</v>
      </c>
      <c r="D28">
        <v>901</v>
      </c>
      <c r="E28">
        <v>11.03</v>
      </c>
      <c r="F28">
        <v>678</v>
      </c>
      <c r="G28">
        <v>75.319999999999993</v>
      </c>
      <c r="H28" s="3">
        <f t="shared" si="1"/>
        <v>1.1912400000000001E-3</v>
      </c>
      <c r="I28" s="2">
        <v>0.09</v>
      </c>
    </row>
    <row r="29" spans="1:9" x14ac:dyDescent="0.3">
      <c r="A29" t="s">
        <v>35</v>
      </c>
      <c r="B29">
        <v>53</v>
      </c>
      <c r="C29" s="9">
        <f t="shared" si="0"/>
        <v>1.06E-2</v>
      </c>
      <c r="D29">
        <v>1425</v>
      </c>
      <c r="E29">
        <v>5.96</v>
      </c>
      <c r="F29">
        <v>1107</v>
      </c>
      <c r="G29">
        <v>77.73</v>
      </c>
      <c r="H29" s="3">
        <f t="shared" si="1"/>
        <v>6.3175999999999998E-4</v>
      </c>
      <c r="I29" s="2">
        <v>0.05</v>
      </c>
    </row>
    <row r="30" spans="1:9" x14ac:dyDescent="0.3">
      <c r="A30" t="s">
        <v>27</v>
      </c>
      <c r="B30">
        <v>49</v>
      </c>
      <c r="C30" s="9">
        <f t="shared" si="0"/>
        <v>9.7999999999999997E-3</v>
      </c>
      <c r="D30">
        <v>639</v>
      </c>
      <c r="E30">
        <v>9.81</v>
      </c>
      <c r="F30">
        <v>489</v>
      </c>
      <c r="G30">
        <v>76.48</v>
      </c>
      <c r="H30" s="3">
        <f t="shared" si="1"/>
        <v>9.6138000000000007E-4</v>
      </c>
      <c r="I30" s="2">
        <v>7.0000000000000007E-2</v>
      </c>
    </row>
    <row r="31" spans="1:9" x14ac:dyDescent="0.3">
      <c r="A31" t="s">
        <v>29</v>
      </c>
      <c r="B31">
        <v>49</v>
      </c>
      <c r="C31" s="9">
        <f t="shared" si="0"/>
        <v>9.7999999999999997E-3</v>
      </c>
      <c r="D31">
        <v>2536</v>
      </c>
      <c r="E31">
        <v>8.14</v>
      </c>
      <c r="F31">
        <v>1972</v>
      </c>
      <c r="G31">
        <v>77.8</v>
      </c>
      <c r="H31" s="3">
        <f t="shared" si="1"/>
        <v>7.9772000000000003E-4</v>
      </c>
      <c r="I31" s="2">
        <v>0.06</v>
      </c>
    </row>
    <row r="32" spans="1:9" x14ac:dyDescent="0.3">
      <c r="A32" t="s">
        <v>39</v>
      </c>
      <c r="B32">
        <v>46</v>
      </c>
      <c r="C32" s="9">
        <f t="shared" si="0"/>
        <v>9.1999999999999998E-3</v>
      </c>
      <c r="D32">
        <v>547</v>
      </c>
      <c r="E32">
        <v>6.82</v>
      </c>
      <c r="F32">
        <v>411</v>
      </c>
      <c r="G32">
        <v>75.09</v>
      </c>
      <c r="H32" s="3">
        <f t="shared" si="1"/>
        <v>6.2743999999999994E-4</v>
      </c>
      <c r="I32" s="2">
        <v>0.05</v>
      </c>
    </row>
    <row r="33" spans="1:9" x14ac:dyDescent="0.3">
      <c r="A33" t="s">
        <v>34</v>
      </c>
      <c r="B33">
        <v>44</v>
      </c>
      <c r="C33" s="9">
        <f t="shared" si="0"/>
        <v>8.7999999999999988E-3</v>
      </c>
      <c r="D33">
        <v>305</v>
      </c>
      <c r="E33">
        <v>8.9</v>
      </c>
      <c r="F33">
        <v>233</v>
      </c>
      <c r="G33">
        <v>76.19</v>
      </c>
      <c r="H33" s="3">
        <f t="shared" si="1"/>
        <v>7.8319999999999996E-4</v>
      </c>
      <c r="I33" s="2">
        <v>0.06</v>
      </c>
    </row>
    <row r="34" spans="1:9" x14ac:dyDescent="0.3">
      <c r="A34" t="s">
        <v>38</v>
      </c>
      <c r="B34">
        <v>33</v>
      </c>
      <c r="C34" s="9">
        <f t="shared" si="0"/>
        <v>6.6E-3</v>
      </c>
      <c r="D34">
        <v>766</v>
      </c>
      <c r="E34">
        <v>8.44</v>
      </c>
      <c r="F34">
        <v>582</v>
      </c>
      <c r="G34">
        <v>76.09</v>
      </c>
      <c r="H34" s="3">
        <f t="shared" si="1"/>
        <v>5.5703999999999997E-4</v>
      </c>
      <c r="I34" s="2">
        <v>0.04</v>
      </c>
    </row>
    <row r="35" spans="1:9" x14ac:dyDescent="0.3">
      <c r="A35" t="s">
        <v>42</v>
      </c>
      <c r="B35">
        <v>23</v>
      </c>
      <c r="C35" s="9">
        <f t="shared" si="0"/>
        <v>4.5999999999999999E-3</v>
      </c>
      <c r="D35">
        <v>464</v>
      </c>
      <c r="E35">
        <v>5.79</v>
      </c>
      <c r="F35">
        <v>355</v>
      </c>
      <c r="G35">
        <v>76.400000000000006</v>
      </c>
      <c r="H35" s="3">
        <f t="shared" si="1"/>
        <v>2.6634E-4</v>
      </c>
      <c r="I35" s="2">
        <v>0.02</v>
      </c>
    </row>
    <row r="36" spans="1:9" x14ac:dyDescent="0.3">
      <c r="A36" t="s">
        <v>43</v>
      </c>
      <c r="B36">
        <v>19</v>
      </c>
      <c r="C36" s="9">
        <f t="shared" si="0"/>
        <v>3.8E-3</v>
      </c>
      <c r="D36">
        <v>404</v>
      </c>
      <c r="E36">
        <v>5.94</v>
      </c>
      <c r="F36">
        <v>309</v>
      </c>
      <c r="G36">
        <v>76.47</v>
      </c>
      <c r="H36" s="3">
        <f t="shared" si="1"/>
        <v>2.2572E-4</v>
      </c>
      <c r="I36" s="2">
        <v>0.02</v>
      </c>
    </row>
    <row r="37" spans="1:9" x14ac:dyDescent="0.3">
      <c r="A37" t="s">
        <v>40</v>
      </c>
      <c r="B37">
        <v>15</v>
      </c>
      <c r="C37" s="9">
        <f t="shared" si="0"/>
        <v>3.0000000000000001E-3</v>
      </c>
      <c r="D37">
        <v>476</v>
      </c>
      <c r="E37">
        <v>7.98</v>
      </c>
      <c r="F37">
        <v>366</v>
      </c>
      <c r="G37">
        <v>76.87</v>
      </c>
      <c r="H37" s="3">
        <f t="shared" si="1"/>
        <v>2.3940000000000005E-4</v>
      </c>
      <c r="I37" s="2">
        <v>0.02</v>
      </c>
    </row>
    <row r="38" spans="1:9" x14ac:dyDescent="0.3">
      <c r="A38" t="s">
        <v>41</v>
      </c>
      <c r="B38">
        <v>14</v>
      </c>
      <c r="C38" s="9">
        <f t="shared" si="0"/>
        <v>2.8E-3</v>
      </c>
      <c r="D38">
        <v>327</v>
      </c>
      <c r="E38">
        <v>7.24</v>
      </c>
      <c r="F38">
        <v>250</v>
      </c>
      <c r="G38">
        <v>76.44</v>
      </c>
      <c r="H38" s="3">
        <f t="shared" si="1"/>
        <v>2.0272000000000001E-4</v>
      </c>
      <c r="I38" s="2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55.21875" customWidth="1"/>
    <col min="2" max="2" width="125.77734375" customWidth="1"/>
  </cols>
  <sheetData>
    <row r="1" spans="1:2" x14ac:dyDescent="0.3">
      <c r="A1" s="1" t="s">
        <v>44</v>
      </c>
      <c r="B1" s="1" t="s">
        <v>45</v>
      </c>
    </row>
    <row r="2" spans="1:2" x14ac:dyDescent="0.3">
      <c r="A2" t="s">
        <v>0</v>
      </c>
      <c r="B2" t="s">
        <v>46</v>
      </c>
    </row>
    <row r="3" spans="1:2" x14ac:dyDescent="0.3">
      <c r="A3" t="s">
        <v>1</v>
      </c>
      <c r="B3" t="s">
        <v>47</v>
      </c>
    </row>
    <row r="4" spans="1:2" x14ac:dyDescent="0.3">
      <c r="A4" t="s">
        <v>48</v>
      </c>
      <c r="B4" t="s">
        <v>49</v>
      </c>
    </row>
    <row r="5" spans="1:2" x14ac:dyDescent="0.3">
      <c r="A5" t="s">
        <v>2</v>
      </c>
      <c r="B5" t="s">
        <v>50</v>
      </c>
    </row>
    <row r="6" spans="1:2" x14ac:dyDescent="0.3">
      <c r="A6" t="s">
        <v>3</v>
      </c>
      <c r="B6" t="s">
        <v>51</v>
      </c>
    </row>
    <row r="7" spans="1:2" x14ac:dyDescent="0.3">
      <c r="A7" t="s">
        <v>4</v>
      </c>
      <c r="B7" t="s">
        <v>52</v>
      </c>
    </row>
    <row r="8" spans="1:2" x14ac:dyDescent="0.3">
      <c r="A8" t="s">
        <v>5</v>
      </c>
      <c r="B8" t="s">
        <v>53</v>
      </c>
    </row>
    <row r="9" spans="1:2" x14ac:dyDescent="0.3">
      <c r="A9" t="s">
        <v>54</v>
      </c>
      <c r="B9" t="s">
        <v>55</v>
      </c>
    </row>
    <row r="10" spans="1:2" x14ac:dyDescent="0.3">
      <c r="A10" t="s">
        <v>6</v>
      </c>
      <c r="B10" t="s">
        <v>56</v>
      </c>
    </row>
    <row r="11" spans="1:2" x14ac:dyDescent="0.3">
      <c r="A11" t="s">
        <v>57</v>
      </c>
      <c r="B1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2" sqref="B12"/>
    </sheetView>
  </sheetViews>
  <sheetFormatPr defaultRowHeight="14.4" x14ac:dyDescent="0.3"/>
  <cols>
    <col min="1" max="1" width="15.6640625" customWidth="1"/>
    <col min="2" max="2" width="79.33203125" customWidth="1"/>
  </cols>
  <sheetData>
    <row r="1" spans="1:2" x14ac:dyDescent="0.3">
      <c r="A1" t="s">
        <v>59</v>
      </c>
      <c r="B1" t="s">
        <v>60</v>
      </c>
    </row>
    <row r="2" spans="1:2" x14ac:dyDescent="0.3">
      <c r="A2">
        <v>1</v>
      </c>
      <c r="B2" t="s">
        <v>61</v>
      </c>
    </row>
    <row r="3" spans="1:2" x14ac:dyDescent="0.3">
      <c r="A3">
        <v>2</v>
      </c>
      <c r="B3" t="s">
        <v>62</v>
      </c>
    </row>
    <row r="4" spans="1:2" x14ac:dyDescent="0.3">
      <c r="A4">
        <v>3</v>
      </c>
      <c r="B4" t="s">
        <v>63</v>
      </c>
    </row>
    <row r="5" spans="1:2" x14ac:dyDescent="0.3">
      <c r="A5">
        <v>4</v>
      </c>
      <c r="B5" t="s">
        <v>64</v>
      </c>
    </row>
    <row r="6" spans="1:2" x14ac:dyDescent="0.3">
      <c r="A6">
        <v>5</v>
      </c>
      <c r="B6" t="s">
        <v>65</v>
      </c>
    </row>
    <row r="8" spans="1:2" x14ac:dyDescent="0.3">
      <c r="A8" t="s">
        <v>66</v>
      </c>
    </row>
    <row r="9" spans="1:2" ht="86.4" x14ac:dyDescent="0.3">
      <c r="A9" s="4" t="s">
        <v>67</v>
      </c>
      <c r="B9" t="s">
        <v>68</v>
      </c>
    </row>
    <row r="10" spans="1:2" ht="43.2" x14ac:dyDescent="0.3">
      <c r="A10" s="4" t="s">
        <v>69</v>
      </c>
      <c r="B10" t="s">
        <v>70</v>
      </c>
    </row>
    <row r="11" spans="1:2" ht="43.2" x14ac:dyDescent="0.3">
      <c r="A11" s="4" t="s">
        <v>71</v>
      </c>
      <c r="B11" t="s">
        <v>72</v>
      </c>
    </row>
    <row r="12" spans="1:2" ht="86.4" x14ac:dyDescent="0.3">
      <c r="A12" s="4" t="s">
        <v>73</v>
      </c>
      <c r="B1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state_priority</vt:lpstr>
      <vt:lpstr>legend</vt:lpstr>
      <vt:lpstr>Method_and_References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Atre</cp:lastModifiedBy>
  <dcterms:created xsi:type="dcterms:W3CDTF">2026-03-10T07:16:26Z</dcterms:created>
  <dcterms:modified xsi:type="dcterms:W3CDTF">2026-03-13T10:06:32Z</dcterms:modified>
</cp:coreProperties>
</file>